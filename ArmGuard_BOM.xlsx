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lPGt9aE6I2MidhtPDKHVjjJZeMpEt/SQZMstWnQ5uQ="/>
    </ext>
  </extLst>
</workbook>
</file>

<file path=xl/sharedStrings.xml><?xml version="1.0" encoding="utf-8"?>
<sst xmlns="http://schemas.openxmlformats.org/spreadsheetml/2006/main" count="39" uniqueCount="38">
  <si>
    <t>Component List</t>
  </si>
  <si>
    <t>Bil</t>
  </si>
  <si>
    <t>Name</t>
  </si>
  <si>
    <t>Component</t>
  </si>
  <si>
    <t>Datasheet</t>
  </si>
  <si>
    <t>Quantity</t>
  </si>
  <si>
    <t>Price Per Quantity(RM)</t>
  </si>
  <si>
    <t>Total Price(RM)</t>
  </si>
  <si>
    <t>NFC</t>
  </si>
  <si>
    <t>PN 532</t>
  </si>
  <si>
    <t>Microcontroller</t>
  </si>
  <si>
    <t>Seeed Studio XIAO ESP32C6</t>
  </si>
  <si>
    <t>Gyro &amp; Accelerometer</t>
  </si>
  <si>
    <t>GY-521</t>
  </si>
  <si>
    <t>GPS Module</t>
  </si>
  <si>
    <t>NEO-6M GPS</t>
  </si>
  <si>
    <t>Pulse Sensor Module Arduino</t>
  </si>
  <si>
    <t>Pulse Sensor</t>
  </si>
  <si>
    <t>Pulse Sensor Module</t>
  </si>
  <si>
    <t>MAX30102</t>
  </si>
  <si>
    <t>Pulse Sensor Module Tambahan</t>
  </si>
  <si>
    <t>Buck Converter</t>
  </si>
  <si>
    <t>Mini 360 DC-DC</t>
  </si>
  <si>
    <t>Super capacitor 5.5v</t>
  </si>
  <si>
    <t xml:space="preserve">5.5v 0.22F </t>
  </si>
  <si>
    <t>LiPo Rechargable Battery</t>
  </si>
  <si>
    <t>3.7 1500mAh</t>
  </si>
  <si>
    <t>BMS</t>
  </si>
  <si>
    <t>1 Cell 2A</t>
  </si>
  <si>
    <t>MOSFET</t>
  </si>
  <si>
    <t>SI2301</t>
  </si>
  <si>
    <t>3D Print</t>
  </si>
  <si>
    <t>Top Shell + Bottom Plate</t>
  </si>
  <si>
    <t>Electrical Jumper Wire</t>
  </si>
  <si>
    <t>AWG26</t>
  </si>
  <si>
    <t>Perfboard</t>
  </si>
  <si>
    <t>4x6cm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</si>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</sst>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M&quot;#,##0.00"/>
  </numFmts>
  <fonts count="9">
    <font>
      <sz val="11.0"/>
      <color theme="1"/>
      <name val="Aptos Narrow"/>
      <scheme val="minor"/>
    </font>
    <font>
      <sz val="9.0"/>
      <color rgb="FF000000"/>
      <name val="Times New Roman"/>
    </font>
    <font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rgb="FF0F1111"/>
      <name val="Arial"/>
    </font>
    <font>
      <sz val="11.0"/>
      <color rgb="FF467886"/>
      <name val="Arial"/>
    </font>
    <font>
      <sz val="9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2" fontId="3" numFmtId="0" xfId="0" applyFill="1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0" fillId="2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2" fillId="3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4.75"/>
    <col customWidth="1" min="3" max="3" width="24.25"/>
    <col customWidth="1" min="4" max="4" width="29.75"/>
    <col customWidth="1" min="5" max="5" width="16.13"/>
    <col customWidth="1" min="6" max="6" width="18.75"/>
    <col customWidth="1" min="7" max="7" width="20.75"/>
    <col customWidth="1" min="8" max="8" width="25.25"/>
    <col customWidth="1" min="9" max="9" width="14.88"/>
    <col customWidth="1" min="10" max="10" width="15.88"/>
    <col customWidth="1" min="11" max="26" width="9.0"/>
  </cols>
  <sheetData>
    <row r="1" ht="14.25" customHeight="1"/>
    <row r="2" ht="14.25" customHeight="1">
      <c r="B2" s="2" t="s">
        <v>0</v>
      </c>
      <c r="I2" s="3"/>
      <c r="J2" s="3"/>
    </row>
    <row r="3" ht="14.2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6" t="s">
        <v>7</v>
      </c>
      <c r="I3" s="7"/>
      <c r="J3" s="7"/>
    </row>
    <row r="4" ht="60.0" customHeight="1">
      <c r="B4" s="8">
        <v>1.0</v>
      </c>
      <c r="C4" s="8" t="s">
        <v>8</v>
      </c>
      <c r="D4" s="9" t="s">
        <v>9</v>
      </c>
      <c r="E4" s="8"/>
      <c r="F4" s="8">
        <v>2.0</v>
      </c>
      <c r="G4" s="8">
        <v>17.1</v>
      </c>
      <c r="H4" s="10">
        <f t="shared" ref="H4:H7" si="1">PRODUCT(F4:G4)</f>
        <v>34.2</v>
      </c>
      <c r="I4" s="11"/>
      <c r="J4" s="7"/>
    </row>
    <row r="5" ht="60.0" customHeight="1">
      <c r="B5" s="4">
        <v>2.0</v>
      </c>
      <c r="C5" s="4" t="s">
        <v>10</v>
      </c>
      <c r="D5" s="12" t="s">
        <v>11</v>
      </c>
      <c r="E5" s="4"/>
      <c r="F5" s="4">
        <v>2.0</v>
      </c>
      <c r="G5" s="4">
        <v>39.95</v>
      </c>
      <c r="H5" s="13">
        <f t="shared" si="1"/>
        <v>79.9</v>
      </c>
      <c r="I5" s="11"/>
      <c r="J5" s="11"/>
    </row>
    <row r="6" ht="60.0" customHeight="1">
      <c r="B6" s="14">
        <v>3.0</v>
      </c>
      <c r="C6" s="4" t="s">
        <v>12</v>
      </c>
      <c r="D6" s="14" t="s">
        <v>13</v>
      </c>
      <c r="E6" s="4"/>
      <c r="F6" s="4">
        <v>2.0</v>
      </c>
      <c r="G6" s="4">
        <v>8.95</v>
      </c>
      <c r="H6" s="13">
        <f t="shared" si="1"/>
        <v>17.9</v>
      </c>
      <c r="I6" s="11"/>
      <c r="J6" s="11"/>
    </row>
    <row r="7" ht="60.0" customHeight="1">
      <c r="B7" s="15">
        <v>4.0</v>
      </c>
      <c r="C7" s="4" t="s">
        <v>14</v>
      </c>
      <c r="D7" s="14" t="s">
        <v>15</v>
      </c>
      <c r="E7" s="4"/>
      <c r="F7" s="4">
        <v>2.0</v>
      </c>
      <c r="G7" s="4">
        <v>15.95</v>
      </c>
      <c r="H7" s="13">
        <f t="shared" si="1"/>
        <v>31.9</v>
      </c>
      <c r="I7" s="11"/>
      <c r="J7" s="11"/>
    </row>
    <row r="8" ht="60.0" customHeight="1">
      <c r="B8" s="4"/>
      <c r="C8" s="14" t="s">
        <v>16</v>
      </c>
      <c r="D8" s="14" t="s">
        <v>17</v>
      </c>
      <c r="E8" s="4"/>
      <c r="F8" s="14">
        <v>2.0</v>
      </c>
      <c r="G8" s="14">
        <v>12.95</v>
      </c>
      <c r="H8" s="16">
        <v>25.9</v>
      </c>
      <c r="I8" s="7"/>
      <c r="J8" s="7"/>
    </row>
    <row r="9" ht="60.0" customHeight="1">
      <c r="B9" s="4">
        <v>5.0</v>
      </c>
      <c r="C9" s="4" t="s">
        <v>18</v>
      </c>
      <c r="D9" s="14" t="s">
        <v>19</v>
      </c>
      <c r="E9" s="4"/>
      <c r="F9" s="14">
        <v>1.0</v>
      </c>
      <c r="G9" s="4">
        <v>5.99</v>
      </c>
      <c r="H9" s="13">
        <f t="shared" ref="H9:H17" si="2">PRODUCT(F9:G9)</f>
        <v>5.99</v>
      </c>
      <c r="I9" s="7"/>
      <c r="J9" s="7"/>
    </row>
    <row r="10" ht="60.0" customHeight="1">
      <c r="B10" s="14">
        <v>6.0</v>
      </c>
      <c r="C10" s="17" t="s">
        <v>20</v>
      </c>
      <c r="D10" s="14" t="s">
        <v>19</v>
      </c>
      <c r="E10" s="4"/>
      <c r="F10" s="14">
        <v>1.0</v>
      </c>
      <c r="G10" s="14">
        <v>9.9</v>
      </c>
      <c r="H10" s="13">
        <f t="shared" si="2"/>
        <v>9.9</v>
      </c>
      <c r="I10" s="18"/>
      <c r="J10" s="19"/>
    </row>
    <row r="11" ht="60.0" customHeight="1">
      <c r="B11" s="8">
        <v>7.0</v>
      </c>
      <c r="C11" s="8" t="s">
        <v>21</v>
      </c>
      <c r="D11" s="9" t="s">
        <v>22</v>
      </c>
      <c r="E11" s="8"/>
      <c r="F11" s="9">
        <v>3.0</v>
      </c>
      <c r="G11" s="9">
        <v>1.94</v>
      </c>
      <c r="H11" s="10">
        <f t="shared" si="2"/>
        <v>5.82</v>
      </c>
      <c r="I11" s="11"/>
      <c r="J11" s="7"/>
    </row>
    <row r="12" ht="60.0" customHeight="1">
      <c r="B12" s="4">
        <v>8.0</v>
      </c>
      <c r="C12" s="9" t="s">
        <v>23</v>
      </c>
      <c r="D12" s="9" t="s">
        <v>24</v>
      </c>
      <c r="E12" s="8"/>
      <c r="F12" s="9">
        <v>2.0</v>
      </c>
      <c r="G12" s="9">
        <v>2.81</v>
      </c>
      <c r="H12" s="20">
        <f t="shared" si="2"/>
        <v>5.62</v>
      </c>
      <c r="I12" s="7"/>
      <c r="J12" s="11"/>
    </row>
    <row r="13" ht="60.0" customHeight="1">
      <c r="B13" s="4"/>
      <c r="C13" s="21" t="s">
        <v>25</v>
      </c>
      <c r="D13" s="21" t="s">
        <v>26</v>
      </c>
      <c r="E13" s="15"/>
      <c r="F13" s="21">
        <v>1.0</v>
      </c>
      <c r="G13" s="21">
        <v>30.98</v>
      </c>
      <c r="H13" s="22">
        <f t="shared" si="2"/>
        <v>30.98</v>
      </c>
      <c r="I13" s="11"/>
      <c r="J13" s="11"/>
    </row>
    <row r="14" ht="60.0" customHeight="1">
      <c r="B14" s="4"/>
      <c r="C14" s="21" t="s">
        <v>27</v>
      </c>
      <c r="D14" s="21" t="s">
        <v>28</v>
      </c>
      <c r="E14" s="15"/>
      <c r="F14" s="21">
        <v>1.0</v>
      </c>
      <c r="G14" s="21">
        <v>1.39</v>
      </c>
      <c r="H14" s="22">
        <f t="shared" si="2"/>
        <v>1.39</v>
      </c>
      <c r="I14" s="11"/>
      <c r="J14" s="11"/>
    </row>
    <row r="15" ht="60.0" customHeight="1">
      <c r="B15" s="14">
        <v>9.0</v>
      </c>
      <c r="C15" s="14" t="s">
        <v>29</v>
      </c>
      <c r="D15" s="14" t="s">
        <v>30</v>
      </c>
      <c r="E15" s="4"/>
      <c r="F15" s="14">
        <v>1.0</v>
      </c>
      <c r="G15" s="14">
        <v>2.0</v>
      </c>
      <c r="H15" s="13">
        <f t="shared" si="2"/>
        <v>2</v>
      </c>
      <c r="I15" s="19"/>
      <c r="J15" s="19"/>
    </row>
    <row r="16" ht="60.0" customHeight="1">
      <c r="B16" s="15">
        <v>10.0</v>
      </c>
      <c r="C16" s="14" t="s">
        <v>31</v>
      </c>
      <c r="D16" s="14" t="s">
        <v>32</v>
      </c>
      <c r="E16" s="4"/>
      <c r="F16" s="14">
        <v>2.0</v>
      </c>
      <c r="G16" s="14">
        <v>18.725</v>
      </c>
      <c r="H16" s="13">
        <f t="shared" si="2"/>
        <v>37.45</v>
      </c>
      <c r="I16" s="18"/>
      <c r="J16" s="11"/>
    </row>
    <row r="17" ht="60.0" customHeight="1">
      <c r="B17" s="4">
        <v>11.0</v>
      </c>
      <c r="C17" s="14" t="s">
        <v>33</v>
      </c>
      <c r="D17" s="14" t="s">
        <v>34</v>
      </c>
      <c r="E17" s="4"/>
      <c r="F17" s="14">
        <v>1.0</v>
      </c>
      <c r="G17" s="14">
        <v>24.9</v>
      </c>
      <c r="H17" s="13">
        <f t="shared" si="2"/>
        <v>24.9</v>
      </c>
      <c r="I17" s="18"/>
      <c r="J17" s="19"/>
    </row>
    <row r="18" ht="60.0" customHeight="1">
      <c r="B18" s="14">
        <v>12.0</v>
      </c>
      <c r="C18" s="14" t="s">
        <v>35</v>
      </c>
      <c r="D18" s="14" t="s">
        <v>36</v>
      </c>
      <c r="E18" s="4"/>
      <c r="F18" s="4">
        <v>2.0</v>
      </c>
      <c r="G18" s="14">
        <v>4.345</v>
      </c>
      <c r="H18" s="13">
        <f>PRODUCT(F18,G18)</f>
        <v>8.69</v>
      </c>
      <c r="I18" s="19"/>
      <c r="J18" s="11"/>
    </row>
    <row r="19" ht="60.0" customHeight="1">
      <c r="D19" s="23"/>
      <c r="E19" s="14" t="s">
        <v>37</v>
      </c>
      <c r="F19" s="4">
        <f t="shared" ref="F19:H19" si="3">SUM(F4:F18)</f>
        <v>25</v>
      </c>
      <c r="G19" s="24">
        <f t="shared" si="3"/>
        <v>197.88</v>
      </c>
      <c r="H19" s="25">
        <f t="shared" si="3"/>
        <v>322.54</v>
      </c>
      <c r="I19" s="3"/>
      <c r="J19" s="3"/>
    </row>
    <row r="20" ht="60.0" customHeight="1"/>
    <row r="21" ht="14.25" customHeight="1"/>
    <row r="22" ht="14.25" customHeight="1"/>
    <row r="23" ht="14.25" customHeight="1">
      <c r="D23" s="26"/>
    </row>
    <row r="24" ht="14.25" customHeight="1">
      <c r="D24" s="26"/>
    </row>
    <row r="25" ht="14.25" customHeight="1">
      <c r="D25" s="26"/>
    </row>
    <row r="26" ht="14.25" customHeight="1">
      <c r="D26" s="26"/>
    </row>
    <row r="27" ht="14.25" customHeight="1">
      <c r="D27" s="26"/>
    </row>
    <row r="28" ht="14.25" customHeight="1">
      <c r="D28" s="26"/>
    </row>
    <row r="29" ht="14.25" customHeight="1">
      <c r="D29" s="26"/>
    </row>
    <row r="30" ht="14.25" customHeight="1">
      <c r="D30" s="26"/>
    </row>
    <row r="31" ht="14.25" customHeight="1">
      <c r="D31" s="26"/>
    </row>
    <row r="32" ht="14.25" customHeight="1">
      <c r="D32" s="26"/>
    </row>
    <row r="33" ht="14.25" customHeight="1">
      <c r="D33" s="26"/>
    </row>
    <row r="34" ht="14.25" customHeight="1">
      <c r="D34" s="26"/>
    </row>
    <row r="35" ht="14.25" customHeight="1">
      <c r="D35" s="26"/>
    </row>
    <row r="36" ht="14.25" customHeight="1">
      <c r="D36" s="26"/>
    </row>
    <row r="37" ht="14.25" customHeight="1">
      <c r="D37" s="26"/>
    </row>
    <row r="38" ht="14.25" customHeight="1">
      <c r="D38" s="26"/>
    </row>
    <row r="39" ht="14.25" customHeight="1">
      <c r="D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">
        <v>79.9</v>
      </c>
    </row>
    <row r="4">
      <c r="B4" s="1">
        <v>17.9</v>
      </c>
    </row>
    <row r="5">
      <c r="B5" s="1">
        <v>31.9</v>
      </c>
    </row>
    <row r="6">
      <c r="B6" s="1">
        <v>5.99</v>
      </c>
    </row>
    <row r="7">
      <c r="B7" s="1">
        <v>9.9</v>
      </c>
    </row>
    <row r="8">
      <c r="B8" s="1">
        <v>30.98</v>
      </c>
    </row>
    <row r="9">
      <c r="B9" s="1">
        <v>2.78</v>
      </c>
    </row>
    <row r="10">
      <c r="B10" s="1">
        <v>2.0</v>
      </c>
    </row>
    <row r="11">
      <c r="B11" s="1">
        <v>37.45</v>
      </c>
    </row>
    <row r="12">
      <c r="B12" s="1">
        <v>24.9</v>
      </c>
    </row>
    <row r="13">
      <c r="B13" s="1">
        <v>8.69</v>
      </c>
    </row>
    <row r="14">
      <c r="B14" s="2">
        <f>SUM(B3:B13)</f>
        <v>252.39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2026-04-01T07:51:00Z</dcterms:created>
  <dc:creator>ARIFF IZAMUDDIN BIN ROSELAN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0B84BEE0522C4ED1B5BF0304384D99B5_13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